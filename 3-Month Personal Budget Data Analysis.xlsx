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956474bb9f85c4/Desktop/"/>
    </mc:Choice>
  </mc:AlternateContent>
  <xr:revisionPtr revIDLastSave="0" documentId="14_{D501B174-33A1-4C7B-9E58-CF44AE6CCADA}" xr6:coauthVersionLast="47" xr6:coauthVersionMax="47" xr10:uidLastSave="{00000000-0000-0000-0000-000000000000}"/>
  <bookViews>
    <workbookView xWindow="-108" yWindow="-108" windowWidth="23256" windowHeight="12456" activeTab="2" xr2:uid="{892E5F7B-07E5-4C93-9E1A-97A8E9A128BE}"/>
  </bookViews>
  <sheets>
    <sheet name="Raw_Data" sheetId="1" r:id="rId1"/>
    <sheet name="PivotTable" sheetId="3" r:id="rId2"/>
    <sheet name="Dashboard" sheetId="4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" i="4" l="1"/>
  <c r="B5" i="4"/>
  <c r="B4" i="4"/>
  <c r="B7" i="4" l="1"/>
  <c r="B13" i="4"/>
  <c r="B14" i="4"/>
  <c r="B8" i="4"/>
  <c r="B9" i="4"/>
  <c r="B15" i="4"/>
</calcChain>
</file>

<file path=xl/sharedStrings.xml><?xml version="1.0" encoding="utf-8"?>
<sst xmlns="http://schemas.openxmlformats.org/spreadsheetml/2006/main" count="307" uniqueCount="64">
  <si>
    <t xml:space="preserve">Date </t>
  </si>
  <si>
    <t xml:space="preserve"> Category </t>
  </si>
  <si>
    <t xml:space="preserve"> Description </t>
  </si>
  <si>
    <t xml:space="preserve"> Amount </t>
  </si>
  <si>
    <t xml:space="preserve"> Month</t>
  </si>
  <si>
    <t xml:space="preserve"> Food </t>
  </si>
  <si>
    <t xml:space="preserve"> ShopRite </t>
  </si>
  <si>
    <t xml:space="preserve"> Nov</t>
  </si>
  <si>
    <t xml:space="preserve"> Rent </t>
  </si>
  <si>
    <t xml:space="preserve"> Gas </t>
  </si>
  <si>
    <t xml:space="preserve"> Dunkin </t>
  </si>
  <si>
    <t xml:space="preserve"> Misc </t>
  </si>
  <si>
    <t xml:space="preserve"> Amazon Purchase </t>
  </si>
  <si>
    <t xml:space="preserve"> BP Gas </t>
  </si>
  <si>
    <t xml:space="preserve"> Entertainment </t>
  </si>
  <si>
    <t xml:space="preserve"> Pizza </t>
  </si>
  <si>
    <t xml:space="preserve"> Exxon </t>
  </si>
  <si>
    <t xml:space="preserve"> Spotify </t>
  </si>
  <si>
    <t xml:space="preserve"> Starbucks </t>
  </si>
  <si>
    <t xml:space="preserve"> Haircut </t>
  </si>
  <si>
    <t xml:space="preserve"> Movie Ticket </t>
  </si>
  <si>
    <t xml:space="preserve"> Uber Eats </t>
  </si>
  <si>
    <t xml:space="preserve"> Xbox Game </t>
  </si>
  <si>
    <t xml:space="preserve"> Dec</t>
  </si>
  <si>
    <t xml:space="preserve"> Christmas Gifts </t>
  </si>
  <si>
    <t xml:space="preserve"> Christmas Dinner </t>
  </si>
  <si>
    <t xml:space="preserve"> Jan</t>
  </si>
  <si>
    <t xml:space="preserve"> Gym Membership </t>
  </si>
  <si>
    <t xml:space="preserve"> Shell Gas </t>
  </si>
  <si>
    <t xml:space="preserve"> Utilities </t>
  </si>
  <si>
    <t xml:space="preserve"> Electric Bill </t>
  </si>
  <si>
    <t xml:space="preserve"> Netflix </t>
  </si>
  <si>
    <t xml:space="preserve"> McDonald's </t>
  </si>
  <si>
    <t xml:space="preserve"> Water Bill </t>
  </si>
  <si>
    <t xml:space="preserve"> Aldi Groceries </t>
  </si>
  <si>
    <t xml:space="preserve"> Groceries Walmart </t>
  </si>
  <si>
    <t xml:space="preserve"> Internet </t>
  </si>
  <si>
    <t xml:space="preserve"> Chipotle </t>
  </si>
  <si>
    <t xml:space="preserve"> Household Items </t>
  </si>
  <si>
    <t xml:space="preserve"> Gas Bill </t>
  </si>
  <si>
    <t xml:space="preserve"> Clothing </t>
  </si>
  <si>
    <t xml:space="preserve">Rent </t>
  </si>
  <si>
    <t>Row Labels</t>
  </si>
  <si>
    <t>Grand Total</t>
  </si>
  <si>
    <t xml:space="preserve">Sum of  Amount </t>
  </si>
  <si>
    <t>Column Labels</t>
  </si>
  <si>
    <t>Total (3 Months)</t>
  </si>
  <si>
    <t>Month</t>
  </si>
  <si>
    <t>Total</t>
  </si>
  <si>
    <t>Nov</t>
  </si>
  <si>
    <t>Dec</t>
  </si>
  <si>
    <t>Jan</t>
  </si>
  <si>
    <t>November</t>
  </si>
  <si>
    <t>December</t>
  </si>
  <si>
    <t>January</t>
  </si>
  <si>
    <t>Dec vs Nov %</t>
  </si>
  <si>
    <t>Jan vs Dec %</t>
  </si>
  <si>
    <t>3. Rent remained the largest fixed expense across all three months.</t>
  </si>
  <si>
    <t>4. Miscellaneous spending spiked in December compared to other months.</t>
  </si>
  <si>
    <t>3-Month Personal Budget Analysis</t>
  </si>
  <si>
    <t>Analyzed 3 months of personal spending data to identify trends, category distribution, and spending behavior.</t>
  </si>
  <si>
    <t>Key Metrics</t>
  </si>
  <si>
    <t>2. Spending decreased by 19% in January compared to December.</t>
  </si>
  <si>
    <t>1. December had the highest total spending at $3,003, increasing by 22% from November.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</si>
</sst>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;@"/>
    <numFmt numFmtId="165" formatCode="&quot;$&quot;#,##0.00"/>
  </numFmts>
  <fonts count="8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16" fontId="1" fillId="0" borderId="0" xfId="0" applyNumberFormat="1" applyFont="1" applyAlignment="1">
      <alignment vertical="center"/>
    </xf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1" xfId="0" applyFont="1" applyBorder="1"/>
    <xf numFmtId="0" fontId="4" fillId="0" borderId="3" xfId="0" applyFont="1" applyBorder="1"/>
    <xf numFmtId="0" fontId="7" fillId="0" borderId="2" xfId="0" applyFont="1" applyBorder="1"/>
    <xf numFmtId="9" fontId="4" fillId="0" borderId="2" xfId="1" applyFont="1" applyBorder="1"/>
    <xf numFmtId="9" fontId="4" fillId="0" borderId="4" xfId="1" applyFont="1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21" formatCode="d\-mmm"/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Monthly 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>
                    <a:alpha val="97000"/>
                  </a:schemeClr>
                </a:solidFill>
              </a:ln>
              <a:effectLst/>
            </c:spPr>
          </c:marker>
          <c:cat>
            <c:strRef>
              <c:f>Dashboard!$A$13:$A$15</c:f>
              <c:strCache>
                <c:ptCount val="3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</c:strCache>
            </c:strRef>
          </c:cat>
          <c:val>
            <c:numRef>
              <c:f>Dashboard!$B$13:$B$15</c:f>
              <c:numCache>
                <c:formatCode>General</c:formatCode>
                <c:ptCount val="3"/>
                <c:pt idx="0">
                  <c:v>2470</c:v>
                </c:pt>
                <c:pt idx="1">
                  <c:v>3003</c:v>
                </c:pt>
                <c:pt idx="2">
                  <c:v>2441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A2-44ED-A6D5-46C5F8650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3867696"/>
        <c:axId val="2003877296"/>
      </c:lineChart>
      <c:catAx>
        <c:axId val="200386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877296"/>
        <c:crosses val="autoZero"/>
        <c:auto val="1"/>
        <c:lblAlgn val="ctr"/>
        <c:lblOffset val="100"/>
        <c:noMultiLvlLbl val="0"/>
      </c:catAx>
      <c:valAx>
        <c:axId val="2003877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86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[3-Month Personal Budget Data Analysis.xlsx]PivotTable!PivotTable2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Spending by Category (Nov-Jan)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PivotTable!$B$3:$B$4</c:f>
              <c:strCache>
                <c:ptCount val="1"/>
                <c:pt idx="0">
                  <c:v> Nov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PivotTable!$A$5:$A$11</c:f>
              <c:strCache>
                <c:ptCount val="6"/>
                <c:pt idx="0">
                  <c:v> Entertainment </c:v>
                </c:pt>
                <c:pt idx="1">
                  <c:v> Food </c:v>
                </c:pt>
                <c:pt idx="2">
                  <c:v> Gas </c:v>
                </c:pt>
                <c:pt idx="3">
                  <c:v> Misc </c:v>
                </c:pt>
                <c:pt idx="4">
                  <c:v> Rent </c:v>
                </c:pt>
                <c:pt idx="5">
                  <c:v> Utilities </c:v>
                </c:pt>
              </c:strCache>
            </c:strRef>
          </c:cat>
          <c:val>
            <c:numRef>
              <c:f>PivotTable!$B$5:$B$11</c:f>
              <c:numCache>
                <c:formatCode>General</c:formatCode>
                <c:ptCount val="6"/>
                <c:pt idx="0">
                  <c:v>99</c:v>
                </c:pt>
                <c:pt idx="1">
                  <c:v>542</c:v>
                </c:pt>
                <c:pt idx="2">
                  <c:v>242</c:v>
                </c:pt>
                <c:pt idx="3">
                  <c:v>121</c:v>
                </c:pt>
                <c:pt idx="4">
                  <c:v>1200</c:v>
                </c:pt>
                <c:pt idx="5">
                  <c:v>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67-4581-A2B4-77B70FCF1B25}"/>
            </c:ext>
          </c:extLst>
        </c:ser>
        <c:ser>
          <c:idx val="1"/>
          <c:order val="1"/>
          <c:tx>
            <c:strRef>
              <c:f>PivotTable!$C$3:$C$4</c:f>
              <c:strCache>
                <c:ptCount val="1"/>
                <c:pt idx="0">
                  <c:v> Dec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PivotTable!$A$5:$A$11</c:f>
              <c:strCache>
                <c:ptCount val="6"/>
                <c:pt idx="0">
                  <c:v> Entertainment </c:v>
                </c:pt>
                <c:pt idx="1">
                  <c:v> Food </c:v>
                </c:pt>
                <c:pt idx="2">
                  <c:v> Gas </c:v>
                </c:pt>
                <c:pt idx="3">
                  <c:v> Misc </c:v>
                </c:pt>
                <c:pt idx="4">
                  <c:v> Rent </c:v>
                </c:pt>
                <c:pt idx="5">
                  <c:v> Utilities </c:v>
                </c:pt>
              </c:strCache>
            </c:strRef>
          </c:cat>
          <c:val>
            <c:numRef>
              <c:f>PivotTable!$C$5:$C$11</c:f>
              <c:numCache>
                <c:formatCode>General</c:formatCode>
                <c:ptCount val="6"/>
                <c:pt idx="0">
                  <c:v>196</c:v>
                </c:pt>
                <c:pt idx="1">
                  <c:v>583</c:v>
                </c:pt>
                <c:pt idx="2">
                  <c:v>255</c:v>
                </c:pt>
                <c:pt idx="3">
                  <c:v>488</c:v>
                </c:pt>
                <c:pt idx="4">
                  <c:v>1200</c:v>
                </c:pt>
                <c:pt idx="5">
                  <c:v>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67-4581-A2B4-77B70FCF1B25}"/>
            </c:ext>
          </c:extLst>
        </c:ser>
        <c:ser>
          <c:idx val="2"/>
          <c:order val="2"/>
          <c:tx>
            <c:strRef>
              <c:f>PivotTable!$D$3:$D$4</c:f>
              <c:strCache>
                <c:ptCount val="1"/>
                <c:pt idx="0">
                  <c:v> Jan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PivotTable!$A$5:$A$11</c:f>
              <c:strCache>
                <c:ptCount val="6"/>
                <c:pt idx="0">
                  <c:v> Entertainment </c:v>
                </c:pt>
                <c:pt idx="1">
                  <c:v> Food </c:v>
                </c:pt>
                <c:pt idx="2">
                  <c:v> Gas </c:v>
                </c:pt>
                <c:pt idx="3">
                  <c:v> Misc </c:v>
                </c:pt>
                <c:pt idx="4">
                  <c:v> Rent </c:v>
                </c:pt>
                <c:pt idx="5">
                  <c:v> Utilities </c:v>
                </c:pt>
              </c:strCache>
            </c:strRef>
          </c:cat>
          <c:val>
            <c:numRef>
              <c:f>PivotTable!$D$5:$D$11</c:f>
              <c:numCache>
                <c:formatCode>General</c:formatCode>
                <c:ptCount val="6"/>
                <c:pt idx="0">
                  <c:v>94</c:v>
                </c:pt>
                <c:pt idx="1">
                  <c:v>471</c:v>
                </c:pt>
                <c:pt idx="2">
                  <c:v>290</c:v>
                </c:pt>
                <c:pt idx="3">
                  <c:v>112</c:v>
                </c:pt>
                <c:pt idx="4">
                  <c:v>1200</c:v>
                </c:pt>
                <c:pt idx="5">
                  <c:v>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67-4581-A2B4-77B70FCF1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2409232"/>
        <c:axId val="2032409712"/>
      </c:barChart>
      <c:catAx>
        <c:axId val="203240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409712"/>
        <c:crosses val="autoZero"/>
        <c:auto val="1"/>
        <c:lblAlgn val="ctr"/>
        <c:lblOffset val="100"/>
        <c:noMultiLvlLbl val="0"/>
      </c:catAx>
      <c:valAx>
        <c:axId val="2032409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409232"/>
        <c:crosses val="autoZero"/>
        <c:crossBetween val="between"/>
      </c:valAx>
      <c:spPr>
        <a:noFill/>
        <a:ln>
          <a:solidFill>
            <a:schemeClr val="accent1">
              <a:alpha val="96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6</xdr:col>
      <xdr:colOff>266700</xdr:colOff>
      <xdr:row>22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17C9DD-17B2-8BC7-EA4A-9892BB15DE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</xdr:colOff>
      <xdr:row>22</xdr:row>
      <xdr:rowOff>91440</xdr:rowOff>
    </xdr:from>
    <xdr:to>
      <xdr:col>8</xdr:col>
      <xdr:colOff>0</xdr:colOff>
      <xdr:row>34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EAAF98-8144-4059-BBA9-B830A52336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Martinez" refreshedDate="46074.158722916669" createdVersion="8" refreshedVersion="8" minRefreshableVersion="3" recordCount="90" xr:uid="{D0DD2706-B599-4103-B6F1-D9E2D390A171}">
  <cacheSource type="worksheet">
    <worksheetSource name="Table3"/>
  </cacheSource>
  <cacheFields count="5">
    <cacheField name="Date " numFmtId="16">
      <sharedItems containsSemiMixedTypes="0" containsNonDate="0" containsDate="1" containsString="0" minDate="2025-11-01T00:00:00" maxDate="2026-01-31T00:00:00"/>
    </cacheField>
    <cacheField name=" Category " numFmtId="0">
      <sharedItems count="6">
        <s v=" Rent "/>
        <s v=" Utilities "/>
        <s v=" Food "/>
        <s v=" Gas "/>
        <s v=" Entertainment "/>
        <s v=" Misc "/>
      </sharedItems>
    </cacheField>
    <cacheField name=" Description " numFmtId="0">
      <sharedItems/>
    </cacheField>
    <cacheField name=" Amount " numFmtId="165">
      <sharedItems containsSemiMixedTypes="0" containsString="0" containsNumber="1" containsInteger="1" minValue="6" maxValue="1200"/>
    </cacheField>
    <cacheField name=" Month" numFmtId="0">
      <sharedItems count="3">
        <s v=" Nov"/>
        <s v=" Dec"/>
        <s v=" Ja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d v="2025-11-01T00:00:00"/>
    <x v="0"/>
    <s v=" Rent "/>
    <n v="1200"/>
    <x v="0"/>
  </r>
  <r>
    <d v="2025-11-02T00:00:00"/>
    <x v="1"/>
    <s v=" Internet "/>
    <n v="70"/>
    <x v="0"/>
  </r>
  <r>
    <d v="2025-11-03T00:00:00"/>
    <x v="1"/>
    <s v=" Electric Bill "/>
    <n v="92"/>
    <x v="0"/>
  </r>
  <r>
    <d v="2025-11-04T00:00:00"/>
    <x v="2"/>
    <s v=" Aldi Groceries "/>
    <n v="84"/>
    <x v="0"/>
  </r>
  <r>
    <d v="2025-11-05T00:00:00"/>
    <x v="2"/>
    <s v=" ShopRite "/>
    <n v="88"/>
    <x v="0"/>
  </r>
  <r>
    <d v="2025-11-06T00:00:00"/>
    <x v="3"/>
    <s v=" BP Gas "/>
    <n v="37"/>
    <x v="0"/>
  </r>
  <r>
    <d v="2025-11-07T00:00:00"/>
    <x v="4"/>
    <s v=" Netflix "/>
    <n v="15"/>
    <x v="0"/>
  </r>
  <r>
    <d v="2025-11-08T00:00:00"/>
    <x v="2"/>
    <s v=" Dunkin "/>
    <n v="6"/>
    <x v="0"/>
  </r>
  <r>
    <d v="2025-11-09T00:00:00"/>
    <x v="5"/>
    <s v=" Amazon Purchase "/>
    <n v="39"/>
    <x v="0"/>
  </r>
  <r>
    <d v="2025-11-10T00:00:00"/>
    <x v="2"/>
    <s v=" Starbucks "/>
    <n v="8"/>
    <x v="0"/>
  </r>
  <r>
    <d v="2025-11-11T00:00:00"/>
    <x v="5"/>
    <s v=" Household Items "/>
    <n v="52"/>
    <x v="0"/>
  </r>
  <r>
    <d v="2025-11-12T00:00:00"/>
    <x v="2"/>
    <s v=" McDonald's "/>
    <n v="10"/>
    <x v="0"/>
  </r>
  <r>
    <d v="2025-11-13T00:00:00"/>
    <x v="2"/>
    <s v=" Chipotle "/>
    <n v="14"/>
    <x v="0"/>
  </r>
  <r>
    <d v="2025-11-14T00:00:00"/>
    <x v="3"/>
    <s v=" BP Gas "/>
    <n v="41"/>
    <x v="0"/>
  </r>
  <r>
    <d v="2025-11-15T00:00:00"/>
    <x v="4"/>
    <s v=" Spotify "/>
    <n v="11"/>
    <x v="0"/>
  </r>
  <r>
    <d v="2025-11-16T00:00:00"/>
    <x v="3"/>
    <s v=" Shell Gas "/>
    <n v="42"/>
    <x v="0"/>
  </r>
  <r>
    <d v="2025-11-17T00:00:00"/>
    <x v="3"/>
    <s v=" Exxon "/>
    <n v="40"/>
    <x v="0"/>
  </r>
  <r>
    <d v="2025-11-18T00:00:00"/>
    <x v="3"/>
    <s v=" Shell Gas "/>
    <n v="44"/>
    <x v="0"/>
  </r>
  <r>
    <d v="2025-11-19T00:00:00"/>
    <x v="2"/>
    <s v=" ShopRite "/>
    <n v="91"/>
    <x v="0"/>
  </r>
  <r>
    <d v="2025-11-20T00:00:00"/>
    <x v="1"/>
    <s v=" Water Bill "/>
    <n v="46"/>
    <x v="0"/>
  </r>
  <r>
    <d v="2025-11-21T00:00:00"/>
    <x v="1"/>
    <s v=" Gas Bill "/>
    <n v="58"/>
    <x v="0"/>
  </r>
  <r>
    <d v="2025-11-22T00:00:00"/>
    <x v="2"/>
    <s v=" Dunkin "/>
    <n v="7"/>
    <x v="0"/>
  </r>
  <r>
    <d v="2025-11-23T00:00:00"/>
    <x v="2"/>
    <s v=" Uber Eats "/>
    <n v="25"/>
    <x v="0"/>
  </r>
  <r>
    <d v="2025-11-24T00:00:00"/>
    <x v="5"/>
    <s v=" Haircut "/>
    <n v="30"/>
    <x v="0"/>
  </r>
  <r>
    <d v="2025-11-25T00:00:00"/>
    <x v="2"/>
    <s v=" ShopRite "/>
    <n v="95"/>
    <x v="0"/>
  </r>
  <r>
    <d v="2025-11-26T00:00:00"/>
    <x v="2"/>
    <s v=" Pizza "/>
    <n v="21"/>
    <x v="0"/>
  </r>
  <r>
    <d v="2025-11-27T00:00:00"/>
    <x v="4"/>
    <s v=" Xbox Game "/>
    <n v="55"/>
    <x v="0"/>
  </r>
  <r>
    <d v="2025-11-28T00:00:00"/>
    <x v="2"/>
    <s v=" Groceries Walmart "/>
    <n v="93"/>
    <x v="0"/>
  </r>
  <r>
    <d v="2025-11-29T00:00:00"/>
    <x v="3"/>
    <s v=" Exxon "/>
    <n v="38"/>
    <x v="0"/>
  </r>
  <r>
    <d v="2025-11-30T00:00:00"/>
    <x v="4"/>
    <s v=" Movie Ticket "/>
    <n v="18"/>
    <x v="0"/>
  </r>
  <r>
    <d v="2025-12-01T00:00:00"/>
    <x v="0"/>
    <s v="Rent "/>
    <n v="1200"/>
    <x v="1"/>
  </r>
  <r>
    <d v="2025-12-02T00:00:00"/>
    <x v="1"/>
    <s v=" Gas Bill "/>
    <n v="62"/>
    <x v="1"/>
  </r>
  <r>
    <d v="2025-12-03T00:00:00"/>
    <x v="2"/>
    <s v=" Starbucks "/>
    <n v="9"/>
    <x v="1"/>
  </r>
  <r>
    <d v="2025-12-04T00:00:00"/>
    <x v="2"/>
    <s v=" Chipotle "/>
    <n v="15"/>
    <x v="1"/>
  </r>
  <r>
    <d v="2025-12-05T00:00:00"/>
    <x v="3"/>
    <s v=" Shell Gas "/>
    <n v="46"/>
    <x v="1"/>
  </r>
  <r>
    <d v="2025-12-06T00:00:00"/>
    <x v="2"/>
    <s v=" Aldi Groceries "/>
    <n v="89"/>
    <x v="1"/>
  </r>
  <r>
    <d v="2025-12-07T00:00:00"/>
    <x v="3"/>
    <s v=" BP Gas "/>
    <n v="39"/>
    <x v="1"/>
  </r>
  <r>
    <d v="2025-12-08T00:00:00"/>
    <x v="2"/>
    <s v=" Dunkin "/>
    <n v="7"/>
    <x v="1"/>
  </r>
  <r>
    <d v="2025-12-09T00:00:00"/>
    <x v="2"/>
    <s v=" ShopRite "/>
    <n v="97"/>
    <x v="1"/>
  </r>
  <r>
    <d v="2025-12-10T00:00:00"/>
    <x v="1"/>
    <s v=" Internet "/>
    <n v="70"/>
    <x v="1"/>
  </r>
  <r>
    <d v="2025-12-11T00:00:00"/>
    <x v="2"/>
    <s v=" Uber Eats "/>
    <n v="28"/>
    <x v="1"/>
  </r>
  <r>
    <d v="2025-12-12T00:00:00"/>
    <x v="1"/>
    <s v=" Electric Bill "/>
    <n v="101"/>
    <x v="1"/>
  </r>
  <r>
    <d v="2025-12-13T00:00:00"/>
    <x v="3"/>
    <s v=" Shell Gas "/>
    <n v="43"/>
    <x v="1"/>
  </r>
  <r>
    <d v="2025-12-14T00:00:00"/>
    <x v="2"/>
    <s v=" ShopRite "/>
    <n v="93"/>
    <x v="1"/>
  </r>
  <r>
    <d v="2025-12-15T00:00:00"/>
    <x v="2"/>
    <s v=" McDonald's "/>
    <n v="12"/>
    <x v="1"/>
  </r>
  <r>
    <d v="2025-12-16T00:00:00"/>
    <x v="4"/>
    <s v=" Spotify "/>
    <n v="11"/>
    <x v="1"/>
  </r>
  <r>
    <d v="2025-12-17T00:00:00"/>
    <x v="5"/>
    <s v=" Amazon Purchase "/>
    <n v="58"/>
    <x v="1"/>
  </r>
  <r>
    <d v="2025-12-18T00:00:00"/>
    <x v="4"/>
    <s v=" Netflix "/>
    <n v="15"/>
    <x v="1"/>
  </r>
  <r>
    <d v="2025-12-19T00:00:00"/>
    <x v="3"/>
    <s v=" Exxon "/>
    <n v="44"/>
    <x v="1"/>
  </r>
  <r>
    <d v="2025-12-20T00:00:00"/>
    <x v="1"/>
    <s v=" Water Bill "/>
    <n v="48"/>
    <x v="1"/>
  </r>
  <r>
    <d v="2025-12-21T00:00:00"/>
    <x v="2"/>
    <s v=" Pizza "/>
    <n v="23"/>
    <x v="1"/>
  </r>
  <r>
    <d v="2025-12-22T00:00:00"/>
    <x v="5"/>
    <s v=" Christmas Gifts "/>
    <n v="320"/>
    <x v="1"/>
  </r>
  <r>
    <d v="2025-12-23T00:00:00"/>
    <x v="3"/>
    <s v=" Exxon "/>
    <n v="42"/>
    <x v="1"/>
  </r>
  <r>
    <d v="2025-12-24T00:00:00"/>
    <x v="4"/>
    <s v=" Christmas Dinner "/>
    <n v="150"/>
    <x v="1"/>
  </r>
  <r>
    <d v="2025-12-26T00:00:00"/>
    <x v="4"/>
    <s v=" Movie Ticket "/>
    <n v="20"/>
    <x v="1"/>
  </r>
  <r>
    <d v="2025-12-27T00:00:00"/>
    <x v="3"/>
    <s v=" BP Gas "/>
    <n v="41"/>
    <x v="1"/>
  </r>
  <r>
    <d v="2025-12-28T00:00:00"/>
    <x v="2"/>
    <s v=" Groceries Walmart "/>
    <n v="104"/>
    <x v="1"/>
  </r>
  <r>
    <d v="2025-12-29T00:00:00"/>
    <x v="5"/>
    <s v=" Clothing "/>
    <n v="110"/>
    <x v="1"/>
  </r>
  <r>
    <d v="2025-12-30T00:00:00"/>
    <x v="2"/>
    <s v=" ShopRite "/>
    <n v="96"/>
    <x v="1"/>
  </r>
  <r>
    <d v="2025-12-31T00:00:00"/>
    <x v="2"/>
    <s v=" Starbucks "/>
    <n v="10"/>
    <x v="1"/>
  </r>
  <r>
    <d v="2026-01-01T00:00:00"/>
    <x v="0"/>
    <s v=" Rent "/>
    <n v="1200"/>
    <x v="2"/>
  </r>
  <r>
    <d v="2026-01-02T00:00:00"/>
    <x v="1"/>
    <s v=" Gas Bill "/>
    <n v="60"/>
    <x v="2"/>
  </r>
  <r>
    <d v="2026-01-03T00:00:00"/>
    <x v="1"/>
    <s v=" Electric Bill "/>
    <n v="98"/>
    <x v="2"/>
  </r>
  <r>
    <d v="2026-01-04T00:00:00"/>
    <x v="1"/>
    <s v=" Internet "/>
    <n v="70"/>
    <x v="2"/>
  </r>
  <r>
    <d v="2026-01-05T00:00:00"/>
    <x v="2"/>
    <s v=" McDonald's "/>
    <n v="11"/>
    <x v="2"/>
  </r>
  <r>
    <d v="2026-01-06T00:00:00"/>
    <x v="2"/>
    <s v=" Starbucks "/>
    <n v="8"/>
    <x v="2"/>
  </r>
  <r>
    <d v="2026-01-07T00:00:00"/>
    <x v="3"/>
    <s v=" Exxon "/>
    <n v="38"/>
    <x v="2"/>
  </r>
  <r>
    <d v="2026-01-08T00:00:00"/>
    <x v="3"/>
    <s v=" Shell Gas "/>
    <n v="45"/>
    <x v="2"/>
  </r>
  <r>
    <d v="2026-01-09T00:00:00"/>
    <x v="5"/>
    <s v=" Haircut "/>
    <n v="30"/>
    <x v="2"/>
  </r>
  <r>
    <d v="2026-01-10T00:00:00"/>
    <x v="4"/>
    <s v=" Netflix "/>
    <n v="15"/>
    <x v="2"/>
  </r>
  <r>
    <d v="2026-01-11T00:00:00"/>
    <x v="3"/>
    <s v=" BP Gas "/>
    <n v="41"/>
    <x v="2"/>
  </r>
  <r>
    <d v="2026-01-12T00:00:00"/>
    <x v="2"/>
    <s v=" Chipotle "/>
    <n v="14"/>
    <x v="2"/>
  </r>
  <r>
    <d v="2026-01-13T00:00:00"/>
    <x v="2"/>
    <s v=" ShopRite "/>
    <n v="95"/>
    <x v="2"/>
  </r>
  <r>
    <d v="2026-01-14T00:00:00"/>
    <x v="2"/>
    <s v=" Aldi Groceries "/>
    <n v="87"/>
    <x v="2"/>
  </r>
  <r>
    <d v="2026-01-15T00:00:00"/>
    <x v="2"/>
    <s v=" Pizza "/>
    <n v="22"/>
    <x v="2"/>
  </r>
  <r>
    <d v="2026-01-16T00:00:00"/>
    <x v="3"/>
    <s v=" Shell Gas "/>
    <n v="43"/>
    <x v="2"/>
  </r>
  <r>
    <d v="2026-01-17T00:00:00"/>
    <x v="2"/>
    <s v=" ShopRite "/>
    <n v="92"/>
    <x v="2"/>
  </r>
  <r>
    <d v="2026-01-18T00:00:00"/>
    <x v="2"/>
    <s v=" Groceries Walmart "/>
    <n v="94"/>
    <x v="2"/>
  </r>
  <r>
    <d v="2026-01-19T00:00:00"/>
    <x v="1"/>
    <s v=" Water Bill "/>
    <n v="46"/>
    <x v="2"/>
  </r>
  <r>
    <d v="2026-01-20T00:00:00"/>
    <x v="4"/>
    <s v=" Xbox Game "/>
    <n v="50"/>
    <x v="2"/>
  </r>
  <r>
    <d v="2026-01-21T00:00:00"/>
    <x v="3"/>
    <s v=" BP Gas "/>
    <n v="40"/>
    <x v="2"/>
  </r>
  <r>
    <d v="2026-01-22T00:00:00"/>
    <x v="2"/>
    <s v=" Dunkin "/>
    <n v="7"/>
    <x v="2"/>
  </r>
  <r>
    <d v="2026-01-23T00:00:00"/>
    <x v="5"/>
    <s v=" Amazon Purchase "/>
    <n v="47"/>
    <x v="2"/>
  </r>
  <r>
    <d v="2026-01-24T00:00:00"/>
    <x v="2"/>
    <s v=" Chipotle "/>
    <n v="15"/>
    <x v="2"/>
  </r>
  <r>
    <d v="2026-01-25T00:00:00"/>
    <x v="2"/>
    <s v=" Uber Eats "/>
    <n v="26"/>
    <x v="2"/>
  </r>
  <r>
    <d v="2026-01-26T00:00:00"/>
    <x v="3"/>
    <s v=" Shell Gas "/>
    <n v="44"/>
    <x v="2"/>
  </r>
  <r>
    <d v="2026-01-27T00:00:00"/>
    <x v="4"/>
    <s v=" Movie Ticket "/>
    <n v="18"/>
    <x v="2"/>
  </r>
  <r>
    <d v="2026-01-28T00:00:00"/>
    <x v="3"/>
    <s v=" Exxon "/>
    <n v="39"/>
    <x v="2"/>
  </r>
  <r>
    <d v="2026-01-29T00:00:00"/>
    <x v="5"/>
    <s v=" Gym Membership "/>
    <n v="35"/>
    <x v="2"/>
  </r>
  <r>
    <d v="2026-01-30T00:00:00"/>
    <x v="4"/>
    <s v=" Spotify "/>
    <n v="1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FBE52B-5C08-4535-A384-879DDC7E7F6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E11" firstHeaderRow="1" firstDataRow="2" firstDataCol="1"/>
  <pivotFields count="5">
    <pivotField numFmtId="16" showAll="0"/>
    <pivotField axis="axisRow" showAll="0">
      <items count="7">
        <item x="4"/>
        <item x="2"/>
        <item x="3"/>
        <item x="5"/>
        <item x="0"/>
        <item x="1"/>
        <item t="default"/>
      </items>
    </pivotField>
    <pivotField showAll="0"/>
    <pivotField dataField="1" numFmtId="165" showAll="0"/>
    <pivotField axis="axisCol" showAll="0">
      <items count="4">
        <item x="0"/>
        <item x="1"/>
        <item x="2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 Amount " fld="3" baseField="0" baseItem="0"/>
  </dataField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4B4C7B-A6AA-48A7-8007-7BADAA93B81F}" name="Table3" displayName="Table3" ref="A1:E91" totalsRowShown="0">
  <autoFilter ref="A1:E91" xr:uid="{664B4C7B-A6AA-48A7-8007-7BADAA93B81F}"/>
  <sortState xmlns:xlrd2="http://schemas.microsoft.com/office/spreadsheetml/2017/richdata2" ref="A2:E91">
    <sortCondition ref="A1:A91"/>
  </sortState>
  <tableColumns count="5">
    <tableColumn id="1" xr3:uid="{E680A6D3-536B-4C9F-B651-2B128EA99B8C}" name="Date " dataDxfId="3"/>
    <tableColumn id="2" xr3:uid="{0BCA119A-856A-4B41-B3B8-261FBF7A3F5E}" name=" Category "/>
    <tableColumn id="3" xr3:uid="{B07FE042-3943-4B6D-9CA9-A2C8AFAB4AF9}" name=" Description "/>
    <tableColumn id="4" xr3:uid="{C8E382F5-FBDF-4573-8FE3-C587B4FF4D05}" name=" Amount " dataDxfId="2"/>
    <tableColumn id="5" xr3:uid="{1F82E540-AE20-4DE4-972F-F3E5B11408C5}" name=" 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572D5-1622-4BD7-BFC4-FF7D894A657C}">
  <dimension ref="A1:E91"/>
  <sheetViews>
    <sheetView topLeftCell="A72" workbookViewId="0"/>
  </sheetViews>
  <sheetFormatPr defaultRowHeight="14.4"/>
  <cols>
    <col min="1" max="1" width="14.109375" style="2" customWidth="1"/>
    <col min="2" max="2" width="14.21875" customWidth="1"/>
    <col min="3" max="3" width="17.21875" customWidth="1"/>
    <col min="4" max="4" width="11.6640625" style="3" customWidth="1"/>
  </cols>
  <sheetData>
    <row r="1" spans="1:5">
      <c r="A1" t="s">
        <v>0</v>
      </c>
      <c r="B1" t="s">
        <v>1</v>
      </c>
      <c r="C1" t="s">
        <v>2</v>
      </c>
      <c r="D1" s="3" t="s">
        <v>3</v>
      </c>
      <c r="E1" t="s">
        <v>4</v>
      </c>
    </row>
    <row r="2" spans="1:5">
      <c r="A2" s="1">
        <v>45962</v>
      </c>
      <c r="B2" t="s">
        <v>8</v>
      </c>
      <c r="C2" t="s">
        <v>8</v>
      </c>
      <c r="D2" s="3">
        <v>1200</v>
      </c>
      <c r="E2" t="s">
        <v>7</v>
      </c>
    </row>
    <row r="3" spans="1:5">
      <c r="A3" s="1">
        <v>45963</v>
      </c>
      <c r="B3" t="s">
        <v>29</v>
      </c>
      <c r="C3" t="s">
        <v>36</v>
      </c>
      <c r="D3" s="3">
        <v>70</v>
      </c>
      <c r="E3" t="s">
        <v>7</v>
      </c>
    </row>
    <row r="4" spans="1:5">
      <c r="A4" s="1">
        <v>45964</v>
      </c>
      <c r="B4" t="s">
        <v>29</v>
      </c>
      <c r="C4" t="s">
        <v>30</v>
      </c>
      <c r="D4" s="3">
        <v>92</v>
      </c>
      <c r="E4" t="s">
        <v>7</v>
      </c>
    </row>
    <row r="5" spans="1:5">
      <c r="A5" s="1">
        <v>45965</v>
      </c>
      <c r="B5" t="s">
        <v>5</v>
      </c>
      <c r="C5" t="s">
        <v>34</v>
      </c>
      <c r="D5" s="3">
        <v>84</v>
      </c>
      <c r="E5" t="s">
        <v>7</v>
      </c>
    </row>
    <row r="6" spans="1:5">
      <c r="A6" s="1">
        <v>45966</v>
      </c>
      <c r="B6" t="s">
        <v>5</v>
      </c>
      <c r="C6" t="s">
        <v>6</v>
      </c>
      <c r="D6" s="3">
        <v>88</v>
      </c>
      <c r="E6" t="s">
        <v>7</v>
      </c>
    </row>
    <row r="7" spans="1:5">
      <c r="A7" s="1">
        <v>45967</v>
      </c>
      <c r="B7" t="s">
        <v>9</v>
      </c>
      <c r="C7" t="s">
        <v>13</v>
      </c>
      <c r="D7" s="3">
        <v>37</v>
      </c>
      <c r="E7" t="s">
        <v>7</v>
      </c>
    </row>
    <row r="8" spans="1:5">
      <c r="A8" s="1">
        <v>45968</v>
      </c>
      <c r="B8" t="s">
        <v>14</v>
      </c>
      <c r="C8" t="s">
        <v>31</v>
      </c>
      <c r="D8" s="3">
        <v>15</v>
      </c>
      <c r="E8" t="s">
        <v>7</v>
      </c>
    </row>
    <row r="9" spans="1:5">
      <c r="A9" s="1">
        <v>45969</v>
      </c>
      <c r="B9" t="s">
        <v>5</v>
      </c>
      <c r="C9" t="s">
        <v>10</v>
      </c>
      <c r="D9" s="3">
        <v>6</v>
      </c>
      <c r="E9" t="s">
        <v>7</v>
      </c>
    </row>
    <row r="10" spans="1:5">
      <c r="A10" s="1">
        <v>45970</v>
      </c>
      <c r="B10" t="s">
        <v>11</v>
      </c>
      <c r="C10" t="s">
        <v>12</v>
      </c>
      <c r="D10" s="3">
        <v>39</v>
      </c>
      <c r="E10" t="s">
        <v>7</v>
      </c>
    </row>
    <row r="11" spans="1:5">
      <c r="A11" s="1">
        <v>45971</v>
      </c>
      <c r="B11" t="s">
        <v>5</v>
      </c>
      <c r="C11" t="s">
        <v>18</v>
      </c>
      <c r="D11" s="3">
        <v>8</v>
      </c>
      <c r="E11" t="s">
        <v>7</v>
      </c>
    </row>
    <row r="12" spans="1:5">
      <c r="A12" s="1">
        <v>45972</v>
      </c>
      <c r="B12" t="s">
        <v>11</v>
      </c>
      <c r="C12" t="s">
        <v>38</v>
      </c>
      <c r="D12" s="3">
        <v>52</v>
      </c>
      <c r="E12" t="s">
        <v>7</v>
      </c>
    </row>
    <row r="13" spans="1:5">
      <c r="A13" s="1">
        <v>45973</v>
      </c>
      <c r="B13" t="s">
        <v>5</v>
      </c>
      <c r="C13" t="s">
        <v>32</v>
      </c>
      <c r="D13" s="3">
        <v>10</v>
      </c>
      <c r="E13" t="s">
        <v>7</v>
      </c>
    </row>
    <row r="14" spans="1:5">
      <c r="A14" s="1">
        <v>45974</v>
      </c>
      <c r="B14" t="s">
        <v>5</v>
      </c>
      <c r="C14" t="s">
        <v>37</v>
      </c>
      <c r="D14" s="3">
        <v>14</v>
      </c>
      <c r="E14" t="s">
        <v>7</v>
      </c>
    </row>
    <row r="15" spans="1:5">
      <c r="A15" s="1">
        <v>45975</v>
      </c>
      <c r="B15" t="s">
        <v>9</v>
      </c>
      <c r="C15" t="s">
        <v>13</v>
      </c>
      <c r="D15" s="3">
        <v>41</v>
      </c>
      <c r="E15" t="s">
        <v>7</v>
      </c>
    </row>
    <row r="16" spans="1:5">
      <c r="A16" s="1">
        <v>45976</v>
      </c>
      <c r="B16" t="s">
        <v>14</v>
      </c>
      <c r="C16" t="s">
        <v>17</v>
      </c>
      <c r="D16" s="3">
        <v>11</v>
      </c>
      <c r="E16" t="s">
        <v>7</v>
      </c>
    </row>
    <row r="17" spans="1:5">
      <c r="A17" s="1">
        <v>45977</v>
      </c>
      <c r="B17" t="s">
        <v>9</v>
      </c>
      <c r="C17" t="s">
        <v>28</v>
      </c>
      <c r="D17" s="3">
        <v>42</v>
      </c>
      <c r="E17" t="s">
        <v>7</v>
      </c>
    </row>
    <row r="18" spans="1:5">
      <c r="A18" s="1">
        <v>45978</v>
      </c>
      <c r="B18" t="s">
        <v>9</v>
      </c>
      <c r="C18" t="s">
        <v>16</v>
      </c>
      <c r="D18" s="3">
        <v>40</v>
      </c>
      <c r="E18" t="s">
        <v>7</v>
      </c>
    </row>
    <row r="19" spans="1:5">
      <c r="A19" s="1">
        <v>45979</v>
      </c>
      <c r="B19" t="s">
        <v>9</v>
      </c>
      <c r="C19" t="s">
        <v>28</v>
      </c>
      <c r="D19" s="3">
        <v>44</v>
      </c>
      <c r="E19" t="s">
        <v>7</v>
      </c>
    </row>
    <row r="20" spans="1:5">
      <c r="A20" s="1">
        <v>45980</v>
      </c>
      <c r="B20" t="s">
        <v>5</v>
      </c>
      <c r="C20" t="s">
        <v>6</v>
      </c>
      <c r="D20" s="3">
        <v>91</v>
      </c>
      <c r="E20" t="s">
        <v>7</v>
      </c>
    </row>
    <row r="21" spans="1:5">
      <c r="A21" s="1">
        <v>45981</v>
      </c>
      <c r="B21" t="s">
        <v>29</v>
      </c>
      <c r="C21" t="s">
        <v>33</v>
      </c>
      <c r="D21" s="3">
        <v>46</v>
      </c>
      <c r="E21" t="s">
        <v>7</v>
      </c>
    </row>
    <row r="22" spans="1:5">
      <c r="A22" s="1">
        <v>45982</v>
      </c>
      <c r="B22" t="s">
        <v>29</v>
      </c>
      <c r="C22" t="s">
        <v>39</v>
      </c>
      <c r="D22" s="3">
        <v>58</v>
      </c>
      <c r="E22" t="s">
        <v>7</v>
      </c>
    </row>
    <row r="23" spans="1:5">
      <c r="A23" s="1">
        <v>45983</v>
      </c>
      <c r="B23" t="s">
        <v>5</v>
      </c>
      <c r="C23" t="s">
        <v>10</v>
      </c>
      <c r="D23" s="3">
        <v>7</v>
      </c>
      <c r="E23" t="s">
        <v>7</v>
      </c>
    </row>
    <row r="24" spans="1:5">
      <c r="A24" s="1">
        <v>45984</v>
      </c>
      <c r="B24" t="s">
        <v>5</v>
      </c>
      <c r="C24" t="s">
        <v>21</v>
      </c>
      <c r="D24" s="3">
        <v>25</v>
      </c>
      <c r="E24" t="s">
        <v>7</v>
      </c>
    </row>
    <row r="25" spans="1:5">
      <c r="A25" s="1">
        <v>45985</v>
      </c>
      <c r="B25" t="s">
        <v>11</v>
      </c>
      <c r="C25" t="s">
        <v>19</v>
      </c>
      <c r="D25" s="3">
        <v>30</v>
      </c>
      <c r="E25" t="s">
        <v>7</v>
      </c>
    </row>
    <row r="26" spans="1:5">
      <c r="A26" s="1">
        <v>45986</v>
      </c>
      <c r="B26" t="s">
        <v>5</v>
      </c>
      <c r="C26" t="s">
        <v>6</v>
      </c>
      <c r="D26" s="3">
        <v>95</v>
      </c>
      <c r="E26" t="s">
        <v>7</v>
      </c>
    </row>
    <row r="27" spans="1:5">
      <c r="A27" s="1">
        <v>45987</v>
      </c>
      <c r="B27" t="s">
        <v>5</v>
      </c>
      <c r="C27" t="s">
        <v>15</v>
      </c>
      <c r="D27" s="3">
        <v>21</v>
      </c>
      <c r="E27" t="s">
        <v>7</v>
      </c>
    </row>
    <row r="28" spans="1:5">
      <c r="A28" s="1">
        <v>45988</v>
      </c>
      <c r="B28" t="s">
        <v>14</v>
      </c>
      <c r="C28" t="s">
        <v>22</v>
      </c>
      <c r="D28" s="3">
        <v>55</v>
      </c>
      <c r="E28" t="s">
        <v>7</v>
      </c>
    </row>
    <row r="29" spans="1:5">
      <c r="A29" s="1">
        <v>45989</v>
      </c>
      <c r="B29" t="s">
        <v>5</v>
      </c>
      <c r="C29" t="s">
        <v>35</v>
      </c>
      <c r="D29" s="3">
        <v>93</v>
      </c>
      <c r="E29" t="s">
        <v>7</v>
      </c>
    </row>
    <row r="30" spans="1:5">
      <c r="A30" s="1">
        <v>45990</v>
      </c>
      <c r="B30" t="s">
        <v>9</v>
      </c>
      <c r="C30" t="s">
        <v>16</v>
      </c>
      <c r="D30" s="3">
        <v>38</v>
      </c>
      <c r="E30" t="s">
        <v>7</v>
      </c>
    </row>
    <row r="31" spans="1:5">
      <c r="A31" s="1">
        <v>45991</v>
      </c>
      <c r="B31" t="s">
        <v>14</v>
      </c>
      <c r="C31" t="s">
        <v>20</v>
      </c>
      <c r="D31" s="3">
        <v>18</v>
      </c>
      <c r="E31" t="s">
        <v>7</v>
      </c>
    </row>
    <row r="32" spans="1:5">
      <c r="A32" s="1">
        <v>45992</v>
      </c>
      <c r="B32" t="s">
        <v>8</v>
      </c>
      <c r="C32" t="s">
        <v>41</v>
      </c>
      <c r="D32" s="3">
        <v>1200</v>
      </c>
      <c r="E32" t="s">
        <v>23</v>
      </c>
    </row>
    <row r="33" spans="1:5">
      <c r="A33" s="1">
        <v>45993</v>
      </c>
      <c r="B33" t="s">
        <v>29</v>
      </c>
      <c r="C33" t="s">
        <v>39</v>
      </c>
      <c r="D33" s="3">
        <v>62</v>
      </c>
      <c r="E33" t="s">
        <v>23</v>
      </c>
    </row>
    <row r="34" spans="1:5">
      <c r="A34" s="1">
        <v>45994</v>
      </c>
      <c r="B34" t="s">
        <v>5</v>
      </c>
      <c r="C34" t="s">
        <v>18</v>
      </c>
      <c r="D34" s="3">
        <v>9</v>
      </c>
      <c r="E34" t="s">
        <v>23</v>
      </c>
    </row>
    <row r="35" spans="1:5">
      <c r="A35" s="1">
        <v>45995</v>
      </c>
      <c r="B35" t="s">
        <v>5</v>
      </c>
      <c r="C35" t="s">
        <v>37</v>
      </c>
      <c r="D35" s="3">
        <v>15</v>
      </c>
      <c r="E35" t="s">
        <v>23</v>
      </c>
    </row>
    <row r="36" spans="1:5">
      <c r="A36" s="1">
        <v>45996</v>
      </c>
      <c r="B36" t="s">
        <v>9</v>
      </c>
      <c r="C36" t="s">
        <v>28</v>
      </c>
      <c r="D36" s="3">
        <v>46</v>
      </c>
      <c r="E36" t="s">
        <v>23</v>
      </c>
    </row>
    <row r="37" spans="1:5">
      <c r="A37" s="1">
        <v>45997</v>
      </c>
      <c r="B37" t="s">
        <v>5</v>
      </c>
      <c r="C37" t="s">
        <v>34</v>
      </c>
      <c r="D37" s="3">
        <v>89</v>
      </c>
      <c r="E37" t="s">
        <v>23</v>
      </c>
    </row>
    <row r="38" spans="1:5">
      <c r="A38" s="1">
        <v>45998</v>
      </c>
      <c r="B38" t="s">
        <v>9</v>
      </c>
      <c r="C38" t="s">
        <v>13</v>
      </c>
      <c r="D38" s="3">
        <v>39</v>
      </c>
      <c r="E38" t="s">
        <v>23</v>
      </c>
    </row>
    <row r="39" spans="1:5">
      <c r="A39" s="1">
        <v>45999</v>
      </c>
      <c r="B39" t="s">
        <v>5</v>
      </c>
      <c r="C39" t="s">
        <v>10</v>
      </c>
      <c r="D39" s="3">
        <v>7</v>
      </c>
      <c r="E39" t="s">
        <v>23</v>
      </c>
    </row>
    <row r="40" spans="1:5">
      <c r="A40" s="1">
        <v>46000</v>
      </c>
      <c r="B40" t="s">
        <v>5</v>
      </c>
      <c r="C40" t="s">
        <v>6</v>
      </c>
      <c r="D40" s="3">
        <v>97</v>
      </c>
      <c r="E40" t="s">
        <v>23</v>
      </c>
    </row>
    <row r="41" spans="1:5">
      <c r="A41" s="1">
        <v>46001</v>
      </c>
      <c r="B41" t="s">
        <v>29</v>
      </c>
      <c r="C41" t="s">
        <v>36</v>
      </c>
      <c r="D41" s="3">
        <v>70</v>
      </c>
      <c r="E41" t="s">
        <v>23</v>
      </c>
    </row>
    <row r="42" spans="1:5">
      <c r="A42" s="1">
        <v>46002</v>
      </c>
      <c r="B42" t="s">
        <v>5</v>
      </c>
      <c r="C42" t="s">
        <v>21</v>
      </c>
      <c r="D42" s="3">
        <v>28</v>
      </c>
      <c r="E42" t="s">
        <v>23</v>
      </c>
    </row>
    <row r="43" spans="1:5">
      <c r="A43" s="1">
        <v>46003</v>
      </c>
      <c r="B43" t="s">
        <v>29</v>
      </c>
      <c r="C43" t="s">
        <v>30</v>
      </c>
      <c r="D43" s="3">
        <v>101</v>
      </c>
      <c r="E43" t="s">
        <v>23</v>
      </c>
    </row>
    <row r="44" spans="1:5">
      <c r="A44" s="1">
        <v>46004</v>
      </c>
      <c r="B44" t="s">
        <v>9</v>
      </c>
      <c r="C44" t="s">
        <v>28</v>
      </c>
      <c r="D44" s="3">
        <v>43</v>
      </c>
      <c r="E44" t="s">
        <v>23</v>
      </c>
    </row>
    <row r="45" spans="1:5">
      <c r="A45" s="1">
        <v>46005</v>
      </c>
      <c r="B45" t="s">
        <v>5</v>
      </c>
      <c r="C45" t="s">
        <v>6</v>
      </c>
      <c r="D45" s="3">
        <v>93</v>
      </c>
      <c r="E45" t="s">
        <v>23</v>
      </c>
    </row>
    <row r="46" spans="1:5">
      <c r="A46" s="1">
        <v>46006</v>
      </c>
      <c r="B46" t="s">
        <v>5</v>
      </c>
      <c r="C46" t="s">
        <v>32</v>
      </c>
      <c r="D46" s="3">
        <v>12</v>
      </c>
      <c r="E46" t="s">
        <v>23</v>
      </c>
    </row>
    <row r="47" spans="1:5">
      <c r="A47" s="1">
        <v>46007</v>
      </c>
      <c r="B47" t="s">
        <v>14</v>
      </c>
      <c r="C47" t="s">
        <v>17</v>
      </c>
      <c r="D47" s="3">
        <v>11</v>
      </c>
      <c r="E47" t="s">
        <v>23</v>
      </c>
    </row>
    <row r="48" spans="1:5">
      <c r="A48" s="1">
        <v>46008</v>
      </c>
      <c r="B48" t="s">
        <v>11</v>
      </c>
      <c r="C48" t="s">
        <v>12</v>
      </c>
      <c r="D48" s="3">
        <v>58</v>
      </c>
      <c r="E48" t="s">
        <v>23</v>
      </c>
    </row>
    <row r="49" spans="1:5">
      <c r="A49" s="1">
        <v>46009</v>
      </c>
      <c r="B49" t="s">
        <v>14</v>
      </c>
      <c r="C49" t="s">
        <v>31</v>
      </c>
      <c r="D49" s="3">
        <v>15</v>
      </c>
      <c r="E49" t="s">
        <v>23</v>
      </c>
    </row>
    <row r="50" spans="1:5">
      <c r="A50" s="1">
        <v>46010</v>
      </c>
      <c r="B50" t="s">
        <v>9</v>
      </c>
      <c r="C50" t="s">
        <v>16</v>
      </c>
      <c r="D50" s="3">
        <v>44</v>
      </c>
      <c r="E50" t="s">
        <v>23</v>
      </c>
    </row>
    <row r="51" spans="1:5">
      <c r="A51" s="1">
        <v>46011</v>
      </c>
      <c r="B51" t="s">
        <v>29</v>
      </c>
      <c r="C51" t="s">
        <v>33</v>
      </c>
      <c r="D51" s="3">
        <v>48</v>
      </c>
      <c r="E51" t="s">
        <v>23</v>
      </c>
    </row>
    <row r="52" spans="1:5">
      <c r="A52" s="1">
        <v>46012</v>
      </c>
      <c r="B52" t="s">
        <v>5</v>
      </c>
      <c r="C52" t="s">
        <v>15</v>
      </c>
      <c r="D52" s="3">
        <v>23</v>
      </c>
      <c r="E52" t="s">
        <v>23</v>
      </c>
    </row>
    <row r="53" spans="1:5">
      <c r="A53" s="1">
        <v>46013</v>
      </c>
      <c r="B53" t="s">
        <v>11</v>
      </c>
      <c r="C53" t="s">
        <v>24</v>
      </c>
      <c r="D53" s="3">
        <v>320</v>
      </c>
      <c r="E53" t="s">
        <v>23</v>
      </c>
    </row>
    <row r="54" spans="1:5">
      <c r="A54" s="1">
        <v>46014</v>
      </c>
      <c r="B54" t="s">
        <v>9</v>
      </c>
      <c r="C54" t="s">
        <v>16</v>
      </c>
      <c r="D54" s="3">
        <v>42</v>
      </c>
      <c r="E54" t="s">
        <v>23</v>
      </c>
    </row>
    <row r="55" spans="1:5">
      <c r="A55" s="1">
        <v>46015</v>
      </c>
      <c r="B55" t="s">
        <v>14</v>
      </c>
      <c r="C55" t="s">
        <v>25</v>
      </c>
      <c r="D55" s="3">
        <v>150</v>
      </c>
      <c r="E55" t="s">
        <v>23</v>
      </c>
    </row>
    <row r="56" spans="1:5">
      <c r="A56" s="1">
        <v>46017</v>
      </c>
      <c r="B56" t="s">
        <v>14</v>
      </c>
      <c r="C56" t="s">
        <v>20</v>
      </c>
      <c r="D56" s="3">
        <v>20</v>
      </c>
      <c r="E56" t="s">
        <v>23</v>
      </c>
    </row>
    <row r="57" spans="1:5">
      <c r="A57" s="1">
        <v>46018</v>
      </c>
      <c r="B57" t="s">
        <v>9</v>
      </c>
      <c r="C57" t="s">
        <v>13</v>
      </c>
      <c r="D57" s="3">
        <v>41</v>
      </c>
      <c r="E57" t="s">
        <v>23</v>
      </c>
    </row>
    <row r="58" spans="1:5">
      <c r="A58" s="1">
        <v>46019</v>
      </c>
      <c r="B58" t="s">
        <v>5</v>
      </c>
      <c r="C58" t="s">
        <v>35</v>
      </c>
      <c r="D58" s="3">
        <v>104</v>
      </c>
      <c r="E58" t="s">
        <v>23</v>
      </c>
    </row>
    <row r="59" spans="1:5">
      <c r="A59" s="1">
        <v>46020</v>
      </c>
      <c r="B59" t="s">
        <v>11</v>
      </c>
      <c r="C59" t="s">
        <v>40</v>
      </c>
      <c r="D59" s="3">
        <v>110</v>
      </c>
      <c r="E59" t="s">
        <v>23</v>
      </c>
    </row>
    <row r="60" spans="1:5">
      <c r="A60" s="1">
        <v>46021</v>
      </c>
      <c r="B60" t="s">
        <v>5</v>
      </c>
      <c r="C60" t="s">
        <v>6</v>
      </c>
      <c r="D60" s="3">
        <v>96</v>
      </c>
      <c r="E60" t="s">
        <v>23</v>
      </c>
    </row>
    <row r="61" spans="1:5">
      <c r="A61" s="1">
        <v>46022</v>
      </c>
      <c r="B61" t="s">
        <v>5</v>
      </c>
      <c r="C61" t="s">
        <v>18</v>
      </c>
      <c r="D61" s="3">
        <v>10</v>
      </c>
      <c r="E61" t="s">
        <v>23</v>
      </c>
    </row>
    <row r="62" spans="1:5">
      <c r="A62" s="1">
        <v>46023</v>
      </c>
      <c r="B62" t="s">
        <v>8</v>
      </c>
      <c r="C62" t="s">
        <v>8</v>
      </c>
      <c r="D62" s="3">
        <v>1200</v>
      </c>
      <c r="E62" t="s">
        <v>26</v>
      </c>
    </row>
    <row r="63" spans="1:5">
      <c r="A63" s="1">
        <v>46024</v>
      </c>
      <c r="B63" t="s">
        <v>29</v>
      </c>
      <c r="C63" t="s">
        <v>39</v>
      </c>
      <c r="D63" s="3">
        <v>60</v>
      </c>
      <c r="E63" t="s">
        <v>26</v>
      </c>
    </row>
    <row r="64" spans="1:5">
      <c r="A64" s="1">
        <v>46025</v>
      </c>
      <c r="B64" t="s">
        <v>29</v>
      </c>
      <c r="C64" t="s">
        <v>30</v>
      </c>
      <c r="D64" s="3">
        <v>98</v>
      </c>
      <c r="E64" t="s">
        <v>26</v>
      </c>
    </row>
    <row r="65" spans="1:5">
      <c r="A65" s="1">
        <v>46026</v>
      </c>
      <c r="B65" t="s">
        <v>29</v>
      </c>
      <c r="C65" t="s">
        <v>36</v>
      </c>
      <c r="D65" s="3">
        <v>70</v>
      </c>
      <c r="E65" t="s">
        <v>26</v>
      </c>
    </row>
    <row r="66" spans="1:5">
      <c r="A66" s="1">
        <v>46027</v>
      </c>
      <c r="B66" t="s">
        <v>5</v>
      </c>
      <c r="C66" t="s">
        <v>32</v>
      </c>
      <c r="D66" s="3">
        <v>11</v>
      </c>
      <c r="E66" t="s">
        <v>26</v>
      </c>
    </row>
    <row r="67" spans="1:5">
      <c r="A67" s="1">
        <v>46028</v>
      </c>
      <c r="B67" t="s">
        <v>5</v>
      </c>
      <c r="C67" t="s">
        <v>18</v>
      </c>
      <c r="D67" s="3">
        <v>8</v>
      </c>
      <c r="E67" t="s">
        <v>26</v>
      </c>
    </row>
    <row r="68" spans="1:5">
      <c r="A68" s="1">
        <v>46029</v>
      </c>
      <c r="B68" t="s">
        <v>9</v>
      </c>
      <c r="C68" t="s">
        <v>16</v>
      </c>
      <c r="D68" s="3">
        <v>38</v>
      </c>
      <c r="E68" t="s">
        <v>26</v>
      </c>
    </row>
    <row r="69" spans="1:5">
      <c r="A69" s="1">
        <v>46030</v>
      </c>
      <c r="B69" t="s">
        <v>9</v>
      </c>
      <c r="C69" t="s">
        <v>28</v>
      </c>
      <c r="D69" s="3">
        <v>45</v>
      </c>
      <c r="E69" t="s">
        <v>26</v>
      </c>
    </row>
    <row r="70" spans="1:5">
      <c r="A70" s="1">
        <v>46031</v>
      </c>
      <c r="B70" t="s">
        <v>11</v>
      </c>
      <c r="C70" t="s">
        <v>19</v>
      </c>
      <c r="D70" s="3">
        <v>30</v>
      </c>
      <c r="E70" t="s">
        <v>26</v>
      </c>
    </row>
    <row r="71" spans="1:5">
      <c r="A71" s="1">
        <v>46032</v>
      </c>
      <c r="B71" t="s">
        <v>14</v>
      </c>
      <c r="C71" t="s">
        <v>31</v>
      </c>
      <c r="D71" s="3">
        <v>15</v>
      </c>
      <c r="E71" t="s">
        <v>26</v>
      </c>
    </row>
    <row r="72" spans="1:5">
      <c r="A72" s="1">
        <v>46033</v>
      </c>
      <c r="B72" t="s">
        <v>9</v>
      </c>
      <c r="C72" t="s">
        <v>13</v>
      </c>
      <c r="D72" s="3">
        <v>41</v>
      </c>
      <c r="E72" t="s">
        <v>26</v>
      </c>
    </row>
    <row r="73" spans="1:5">
      <c r="A73" s="1">
        <v>46034</v>
      </c>
      <c r="B73" t="s">
        <v>5</v>
      </c>
      <c r="C73" t="s">
        <v>37</v>
      </c>
      <c r="D73" s="3">
        <v>14</v>
      </c>
      <c r="E73" t="s">
        <v>26</v>
      </c>
    </row>
    <row r="74" spans="1:5">
      <c r="A74" s="1">
        <v>46035</v>
      </c>
      <c r="B74" t="s">
        <v>5</v>
      </c>
      <c r="C74" t="s">
        <v>6</v>
      </c>
      <c r="D74" s="3">
        <v>95</v>
      </c>
      <c r="E74" t="s">
        <v>26</v>
      </c>
    </row>
    <row r="75" spans="1:5">
      <c r="A75" s="1">
        <v>46036</v>
      </c>
      <c r="B75" t="s">
        <v>5</v>
      </c>
      <c r="C75" t="s">
        <v>34</v>
      </c>
      <c r="D75" s="3">
        <v>87</v>
      </c>
      <c r="E75" t="s">
        <v>26</v>
      </c>
    </row>
    <row r="76" spans="1:5">
      <c r="A76" s="1">
        <v>46037</v>
      </c>
      <c r="B76" t="s">
        <v>5</v>
      </c>
      <c r="C76" t="s">
        <v>15</v>
      </c>
      <c r="D76" s="3">
        <v>22</v>
      </c>
      <c r="E76" t="s">
        <v>26</v>
      </c>
    </row>
    <row r="77" spans="1:5">
      <c r="A77" s="1">
        <v>46038</v>
      </c>
      <c r="B77" t="s">
        <v>9</v>
      </c>
      <c r="C77" t="s">
        <v>28</v>
      </c>
      <c r="D77" s="3">
        <v>43</v>
      </c>
      <c r="E77" t="s">
        <v>26</v>
      </c>
    </row>
    <row r="78" spans="1:5">
      <c r="A78" s="1">
        <v>46039</v>
      </c>
      <c r="B78" t="s">
        <v>5</v>
      </c>
      <c r="C78" t="s">
        <v>6</v>
      </c>
      <c r="D78" s="3">
        <v>92</v>
      </c>
      <c r="E78" t="s">
        <v>26</v>
      </c>
    </row>
    <row r="79" spans="1:5">
      <c r="A79" s="1">
        <v>46040</v>
      </c>
      <c r="B79" t="s">
        <v>5</v>
      </c>
      <c r="C79" t="s">
        <v>35</v>
      </c>
      <c r="D79" s="3">
        <v>94</v>
      </c>
      <c r="E79" t="s">
        <v>26</v>
      </c>
    </row>
    <row r="80" spans="1:5">
      <c r="A80" s="1">
        <v>46041</v>
      </c>
      <c r="B80" t="s">
        <v>29</v>
      </c>
      <c r="C80" t="s">
        <v>33</v>
      </c>
      <c r="D80" s="3">
        <v>46</v>
      </c>
      <c r="E80" t="s">
        <v>26</v>
      </c>
    </row>
    <row r="81" spans="1:5">
      <c r="A81" s="1">
        <v>46042</v>
      </c>
      <c r="B81" t="s">
        <v>14</v>
      </c>
      <c r="C81" t="s">
        <v>22</v>
      </c>
      <c r="D81" s="3">
        <v>50</v>
      </c>
      <c r="E81" t="s">
        <v>26</v>
      </c>
    </row>
    <row r="82" spans="1:5">
      <c r="A82" s="1">
        <v>46043</v>
      </c>
      <c r="B82" t="s">
        <v>9</v>
      </c>
      <c r="C82" t="s">
        <v>13</v>
      </c>
      <c r="D82" s="3">
        <v>40</v>
      </c>
      <c r="E82" t="s">
        <v>26</v>
      </c>
    </row>
    <row r="83" spans="1:5">
      <c r="A83" s="1">
        <v>46044</v>
      </c>
      <c r="B83" t="s">
        <v>5</v>
      </c>
      <c r="C83" t="s">
        <v>10</v>
      </c>
      <c r="D83" s="3">
        <v>7</v>
      </c>
      <c r="E83" t="s">
        <v>26</v>
      </c>
    </row>
    <row r="84" spans="1:5">
      <c r="A84" s="1">
        <v>46045</v>
      </c>
      <c r="B84" t="s">
        <v>11</v>
      </c>
      <c r="C84" t="s">
        <v>12</v>
      </c>
      <c r="D84" s="3">
        <v>47</v>
      </c>
      <c r="E84" t="s">
        <v>26</v>
      </c>
    </row>
    <row r="85" spans="1:5">
      <c r="A85" s="1">
        <v>46046</v>
      </c>
      <c r="B85" t="s">
        <v>5</v>
      </c>
      <c r="C85" t="s">
        <v>37</v>
      </c>
      <c r="D85" s="3">
        <v>15</v>
      </c>
      <c r="E85" t="s">
        <v>26</v>
      </c>
    </row>
    <row r="86" spans="1:5">
      <c r="A86" s="1">
        <v>46047</v>
      </c>
      <c r="B86" t="s">
        <v>5</v>
      </c>
      <c r="C86" t="s">
        <v>21</v>
      </c>
      <c r="D86" s="3">
        <v>26</v>
      </c>
      <c r="E86" t="s">
        <v>26</v>
      </c>
    </row>
    <row r="87" spans="1:5">
      <c r="A87" s="1">
        <v>46048</v>
      </c>
      <c r="B87" t="s">
        <v>9</v>
      </c>
      <c r="C87" t="s">
        <v>28</v>
      </c>
      <c r="D87" s="3">
        <v>44</v>
      </c>
      <c r="E87" t="s">
        <v>26</v>
      </c>
    </row>
    <row r="88" spans="1:5">
      <c r="A88" s="1">
        <v>46049</v>
      </c>
      <c r="B88" t="s">
        <v>14</v>
      </c>
      <c r="C88" t="s">
        <v>20</v>
      </c>
      <c r="D88" s="3">
        <v>18</v>
      </c>
      <c r="E88" t="s">
        <v>26</v>
      </c>
    </row>
    <row r="89" spans="1:5">
      <c r="A89" s="1">
        <v>46050</v>
      </c>
      <c r="B89" t="s">
        <v>9</v>
      </c>
      <c r="C89" t="s">
        <v>16</v>
      </c>
      <c r="D89" s="3">
        <v>39</v>
      </c>
      <c r="E89" t="s">
        <v>26</v>
      </c>
    </row>
    <row r="90" spans="1:5">
      <c r="A90" s="1">
        <v>46051</v>
      </c>
      <c r="B90" t="s">
        <v>11</v>
      </c>
      <c r="C90" t="s">
        <v>27</v>
      </c>
      <c r="D90" s="3">
        <v>35</v>
      </c>
      <c r="E90" t="s">
        <v>26</v>
      </c>
    </row>
    <row r="91" spans="1:5">
      <c r="A91" s="1">
        <v>46052</v>
      </c>
      <c r="B91" t="s">
        <v>14</v>
      </c>
      <c r="C91" t="s">
        <v>17</v>
      </c>
      <c r="D91" s="3">
        <v>11</v>
      </c>
      <c r="E91" t="s">
        <v>26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49826-262E-4B5E-9E7B-7EA1A46B9F82}">
  <dimension ref="A3:E11"/>
  <sheetViews>
    <sheetView workbookViewId="0">
      <selection activeCell="B17" sqref="B17"/>
    </sheetView>
  </sheetViews>
  <sheetFormatPr defaultRowHeight="14.4"/>
  <cols>
    <col min="1" max="1" width="14.21875" bestFit="1" customWidth="1"/>
    <col min="2" max="2" width="15.5546875" bestFit="1" customWidth="1"/>
    <col min="3" max="4" width="5" bestFit="1" customWidth="1"/>
    <col min="5" max="5" width="10.5546875" bestFit="1" customWidth="1"/>
  </cols>
  <sheetData>
    <row r="3" spans="1:5">
      <c r="A3" s="4" t="s">
        <v>44</v>
      </c>
      <c r="B3" s="4" t="s">
        <v>45</v>
      </c>
    </row>
    <row r="4" spans="1:5">
      <c r="A4" s="4" t="s">
        <v>42</v>
      </c>
      <c r="B4" t="s">
        <v>7</v>
      </c>
      <c r="C4" t="s">
        <v>23</v>
      </c>
      <c r="D4" t="s">
        <v>26</v>
      </c>
      <c r="E4" t="s">
        <v>43</v>
      </c>
    </row>
    <row r="5" spans="1:5">
      <c r="A5" s="5" t="s">
        <v>14</v>
      </c>
      <c r="B5" s="6">
        <v>99</v>
      </c>
      <c r="C5" s="6">
        <v>196</v>
      </c>
      <c r="D5" s="6">
        <v>94</v>
      </c>
      <c r="E5" s="6">
        <v>389</v>
      </c>
    </row>
    <row r="6" spans="1:5">
      <c r="A6" s="5" t="s">
        <v>5</v>
      </c>
      <c r="B6" s="6">
        <v>542</v>
      </c>
      <c r="C6" s="6">
        <v>583</v>
      </c>
      <c r="D6" s="6">
        <v>471</v>
      </c>
      <c r="E6" s="6">
        <v>1596</v>
      </c>
    </row>
    <row r="7" spans="1:5">
      <c r="A7" s="5" t="s">
        <v>9</v>
      </c>
      <c r="B7" s="6">
        <v>242</v>
      </c>
      <c r="C7" s="6">
        <v>255</v>
      </c>
      <c r="D7" s="6">
        <v>290</v>
      </c>
      <c r="E7" s="6">
        <v>787</v>
      </c>
    </row>
    <row r="8" spans="1:5">
      <c r="A8" s="5" t="s">
        <v>11</v>
      </c>
      <c r="B8" s="6">
        <v>121</v>
      </c>
      <c r="C8" s="6">
        <v>488</v>
      </c>
      <c r="D8" s="6">
        <v>112</v>
      </c>
      <c r="E8" s="6">
        <v>721</v>
      </c>
    </row>
    <row r="9" spans="1:5">
      <c r="A9" s="5" t="s">
        <v>8</v>
      </c>
      <c r="B9" s="6">
        <v>1200</v>
      </c>
      <c r="C9" s="6">
        <v>1200</v>
      </c>
      <c r="D9" s="6">
        <v>1200</v>
      </c>
      <c r="E9" s="6">
        <v>3600</v>
      </c>
    </row>
    <row r="10" spans="1:5">
      <c r="A10" s="5" t="s">
        <v>29</v>
      </c>
      <c r="B10" s="6">
        <v>266</v>
      </c>
      <c r="C10" s="6">
        <v>281</v>
      </c>
      <c r="D10" s="6">
        <v>274</v>
      </c>
      <c r="E10" s="6">
        <v>821</v>
      </c>
    </row>
    <row r="11" spans="1:5">
      <c r="A11" s="5" t="s">
        <v>43</v>
      </c>
      <c r="B11" s="6">
        <v>2470</v>
      </c>
      <c r="C11" s="6">
        <v>3003</v>
      </c>
      <c r="D11" s="6">
        <v>2441</v>
      </c>
      <c r="E11" s="6">
        <v>7914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ADE75-CE7D-4A8B-ACBB-456B73C5C236}">
  <dimension ref="A1:O15"/>
  <sheetViews>
    <sheetView showGridLines="0" tabSelected="1" topLeftCell="A9" workbookViewId="0">
      <selection activeCell="F5" sqref="F5"/>
    </sheetView>
  </sheetViews>
  <sheetFormatPr defaultRowHeight="14.4"/>
  <cols>
    <col min="1" max="1" width="17.44140625" customWidth="1"/>
  </cols>
  <sheetData>
    <row r="1" spans="1:15" ht="23.4">
      <c r="A1" s="14" t="s">
        <v>59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15.6">
      <c r="A2" s="15" t="s">
        <v>60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 ht="21" customHeight="1">
      <c r="A3" s="16" t="s">
        <v>61</v>
      </c>
      <c r="B3" s="16"/>
    </row>
    <row r="4" spans="1:15" ht="21">
      <c r="A4" s="9" t="s">
        <v>52</v>
      </c>
      <c r="B4" s="11">
        <f>GETPIVOTDATA(" Amount ",PivotTable!$A$3," Month"," Nov")</f>
        <v>2470</v>
      </c>
    </row>
    <row r="5" spans="1:15" ht="21">
      <c r="A5" s="9" t="s">
        <v>53</v>
      </c>
      <c r="B5" s="11">
        <f>GETPIVOTDATA(" Amount ",PivotTable!$A$3," Month"," Dec")</f>
        <v>3003</v>
      </c>
    </row>
    <row r="6" spans="1:15" ht="21">
      <c r="A6" s="9" t="s">
        <v>54</v>
      </c>
      <c r="B6" s="11">
        <f>GETPIVOTDATA(" Amount ",PivotTable!$A$3," Month"," Jan")</f>
        <v>2441</v>
      </c>
    </row>
    <row r="7" spans="1:15" ht="21">
      <c r="A7" s="9" t="s">
        <v>46</v>
      </c>
      <c r="B7" s="11">
        <f>SUM(B4:B6)</f>
        <v>7914</v>
      </c>
    </row>
    <row r="8" spans="1:15" ht="18">
      <c r="A8" s="9" t="s">
        <v>55</v>
      </c>
      <c r="B8" s="12">
        <f>(B5-B4) /B4</f>
        <v>0.21578947368421053</v>
      </c>
    </row>
    <row r="9" spans="1:15" ht="18">
      <c r="A9" s="10" t="s">
        <v>56</v>
      </c>
      <c r="B9" s="13">
        <f>(B6-B5)/B5</f>
        <v>-0.18714618714618714</v>
      </c>
    </row>
    <row r="10" spans="1:15" ht="18">
      <c r="A10" s="7"/>
      <c r="B10" s="7"/>
      <c r="H10" t="s">
        <v>63</v>
      </c>
    </row>
    <row r="11" spans="1:15" ht="18">
      <c r="A11" s="7"/>
      <c r="B11" s="7"/>
      <c r="H11" t="s">
        <v>62</v>
      </c>
    </row>
    <row r="12" spans="1:15" ht="18">
      <c r="A12" s="7" t="s">
        <v>47</v>
      </c>
      <c r="B12" s="8" t="s">
        <v>48</v>
      </c>
      <c r="H12" t="s">
        <v>57</v>
      </c>
    </row>
    <row r="13" spans="1:15" ht="18">
      <c r="A13" s="7" t="s">
        <v>49</v>
      </c>
      <c r="B13" s="7">
        <f>B4</f>
        <v>2470</v>
      </c>
      <c r="H13" t="s">
        <v>58</v>
      </c>
    </row>
    <row r="14" spans="1:15" ht="18">
      <c r="A14" s="7" t="s">
        <v>50</v>
      </c>
      <c r="B14" s="7">
        <f t="shared" ref="B14:B15" si="0">B5</f>
        <v>3003</v>
      </c>
    </row>
    <row r="15" spans="1:15" ht="18">
      <c r="A15" s="7" t="s">
        <v>51</v>
      </c>
      <c r="B15" s="7">
        <f t="shared" si="0"/>
        <v>2441</v>
      </c>
    </row>
  </sheetData>
  <mergeCells count="3">
    <mergeCell ref="A1:O1"/>
    <mergeCell ref="A2:O2"/>
    <mergeCell ref="A3:B3"/>
  </mergeCells>
  <conditionalFormatting sqref="B8">
    <cfRule type="cellIs" dxfId="1" priority="2" operator="greaterThan">
      <formula>0</formula>
    </cfRule>
  </conditionalFormatting>
  <conditionalFormatting sqref="B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PivotTable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Martinez</dc:creator>
  <cp:lastModifiedBy>Victor Martinez</cp:lastModifiedBy>
  <dcterms:created xsi:type="dcterms:W3CDTF">2026-02-21T06:48:01Z</dcterms:created>
  <dcterms:modified xsi:type="dcterms:W3CDTF">2026-04-16T19:28:04Z</dcterms:modified>
</cp:coreProperties>
</file>